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5083f9694747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33d5c9be936349a9"/>
    <x:sheet xmlns:r="http://schemas.openxmlformats.org/officeDocument/2006/relationships" name="Access Register" sheetId="2" r:id="R1657bcaac0c145ad"/>
    <x:sheet xmlns:r="http://schemas.openxmlformats.org/officeDocument/2006/relationships" name="Open Items" sheetId="3" r:id="R37fc57c2cbcd4f26"/>
    <x:sheet xmlns:r="http://schemas.openxmlformats.org/officeDocument/2006/relationships" name="Meeting Checklist" sheetId="4" r:id="R60bf4f1d05a341f5"/>
    <x:sheet xmlns:r="http://schemas.openxmlformats.org/officeDocument/2006/relationships" name="Lists" sheetId="5" r:id="Rc2beba1774ef49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10"/>
      <x:color rgb="FF5E6A65"/>
      <x:name val="Carlito"/>
    </x:font>
    <x:font>
      <x:b/>
      <x:sz val="11"/>
      <x:color rgb="FF1C2A25"/>
      <x:name val="Carlito"/>
    </x:font>
    <x:font>
      <x:b/>
      <x:sz val="14"/>
      <x:color rgb="FF174A3A"/>
      <x:name val="Carlito"/>
    </x:font>
    <x:font>
      <x:sz val="10"/>
      <x:color rgb="FF1C2A25"/>
      <x:name val="Carlito"/>
    </x:font>
    <x:font>
      <x:b/>
      <x:sz val="10"/>
      <x:color rgb="FF1C2A25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4A3A"/>
      </x:patternFill>
    </x:fill>
    <x:fill>
      <x:patternFill patternType="solid">
        <x:fgColor rgb="FFECE7DC"/>
      </x:patternFill>
    </x:fill>
    <x:fill>
      <x:patternFill patternType="solid">
        <x:fgColor rgb="FFF7F4ED"/>
      </x:patternFill>
    </x:fill>
    <x:fill>
      <x:patternFill patternType="solid">
        <x:fgColor rgb="FFFFFFFF"/>
      </x:patternFill>
    </x:fill>
  </x:fills>
  <x:borders count="3">
    <x:border/>
    <x:border>
      <x:left style="thin">
        <x:color rgb="FFD9DED8"/>
      </x:left>
      <x:right style="thin">
        <x:color rgb="FFD9DED8"/>
      </x:right>
      <x:top style="thin">
        <x:color rgb="FFD9DED8"/>
      </x:top>
      <x:bottom style="thin">
        <x:color rgb="FFD9DED8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3" borderId="1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200" fontId="0" fillId="4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 applyAlignment="1">
      <x:alignment horizontal="center"/>
    </x:xf>
    <x:xf numFmtId="200" fontId="0" fillId="4" borderId="1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200" fontId="0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vertical="center" wrapText="1"/>
    </x:xf>
    <x:xf numFmtId="0" fontId="7" fillId="2" borderId="2" xfId="0" applyNumberFormat="1" applyFont="1" applyFill="1" applyBorder="1" applyAlignment="1">
      <x:alignment vertical="center" wrapText="1"/>
    </x:xf>
    <x:xf numFmtId="200" fontId="5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10">
    <x:dxf>
      <x:font>
        <x:b/>
        <x:color rgb="FF8A1F1F"/>
      </x:font>
      <x:fill>
        <x:patternFill>
          <x:bgColor rgb="FFFBEAEA"/>
        </x:patternFill>
      </x:fill>
    </x:dxf>
    <x:dxf>
      <x:font>
        <x:b/>
        <x:color rgb="FF7A5400"/>
      </x:font>
      <x:fill>
        <x:patternFill>
          <x:bgColor rgb="FFFFF4D6"/>
        </x:patternFill>
      </x:fill>
    </x:dxf>
    <x:dxf>
      <x:font>
        <x:b/>
        <x:color rgb="FF24587A"/>
      </x:font>
      <x:fill>
        <x:patternFill>
          <x:bgColor rgb="FFE8F0F7"/>
        </x:patternFill>
      </x:fill>
    </x:dxf>
    <x:dxf>
      <x:font>
        <x:b/>
        <x:color rgb="FF174A3A"/>
      </x:font>
      <x:fill>
        <x:patternFill>
          <x:bgColor rgb="FFE6F3EC"/>
        </x:patternFill>
      </x:fill>
    </x:dxf>
    <x:dxf>
      <x:font>
        <x:b/>
        <x:color rgb="FF8A1F1F"/>
      </x:font>
      <x:fill>
        <x:patternFill>
          <x:bgColor rgb="FFFBEAEA"/>
        </x:patternFill>
      </x:fill>
    </x:dxf>
    <x:dxf>
      <x:font>
        <x:b/>
        <x:color rgb="FF7A5400"/>
      </x:font>
      <x:fill>
        <x:patternFill>
          <x:bgColor rgb="FFFFF4D6"/>
        </x:patternFill>
      </x:fill>
    </x:dxf>
    <x:dxf>
      <x:font>
        <x:b/>
        <x:color rgb="FF24587A"/>
      </x:font>
      <x:fill>
        <x:patternFill>
          <x:bgColor rgb="FFE8F0F7"/>
        </x:patternFill>
      </x:fill>
    </x:dxf>
    <x:dxf>
      <x:font>
        <x:b/>
        <x:color rgb="FF174A3A"/>
      </x:font>
      <x:fill>
        <x:patternFill>
          <x:bgColor rgb="FFE6F3EC"/>
        </x:patternFill>
      </x:fill>
    </x:dxf>
    <x:dxf>
      <x:font>
        <x:b/>
        <x:color rgb="FF174A3A"/>
      </x:font>
      <x:fill>
        <x:patternFill>
          <x:bgColor rgb="FFE6F3EC"/>
        </x:patternFill>
      </x:fill>
    </x:dxf>
    <x:dxf>
      <x:font>
        <x:b/>
        <x:color rgb="FF7A5400"/>
      </x:font>
      <x:fill>
        <x:patternFill>
          <x:bgColor rgb="FFFFF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ed0a006bbc4950" /><Relationship Type="http://schemas.openxmlformats.org/officeDocument/2006/relationships/theme" Target="/xl/theme/theme1.xml" Id="R9d06f029bef14261" /><Relationship Type="http://schemas.openxmlformats.org/officeDocument/2006/relationships/sharedStrings" Target="/xl/sharedStrings.xml" Id="R40a14ea697374c10" /><Relationship Type="http://schemas.openxmlformats.org/officeDocument/2006/relationships/worksheet" Target="/xl/worksheets/sheet1.xml" Id="R33d5c9be936349a9" /><Relationship Type="http://schemas.openxmlformats.org/officeDocument/2006/relationships/worksheet" Target="/xl/worksheets/sheet2.xml" Id="R1657bcaac0c145ad" /><Relationship Type="http://schemas.openxmlformats.org/officeDocument/2006/relationships/worksheet" Target="/xl/worksheets/sheet3.xml" Id="R37fc57c2cbcd4f26" /><Relationship Type="http://schemas.openxmlformats.org/officeDocument/2006/relationships/worksheet" Target="/xl/worksheets/sheet4.xml" Id="R60bf4f1d05a341f5" /><Relationship Type="http://schemas.openxmlformats.org/officeDocument/2006/relationships/worksheet" Target="/xl/worksheets/sheet5.xml" Id="Rc2beba1774ef4967" /></Relationships>
</file>

<file path=xl/tables/table1.xml><?xml version="1.0" encoding="utf-8"?>
<x:table xmlns:x="http://schemas.openxmlformats.org/spreadsheetml/2006/main" id="1" name="AccessRegisterTable" displayName="AccessRegisterTable" ref="A4:K19" headerRowCount="1" totalsRowCount="0" totalsRowShown="0">
  <x:tableColumns count="11">
    <x:tableColumn id="1" name="Service"/>
    <x:tableColumn id="2" name="Purpose"/>
    <x:tableColumn id="3" name="Client role / account holder"/>
    <x:tableColumn id="4" name="Client owner / recovery"/>
    <x:tableColumn id="5" name="Developer role"/>
    <x:tableColumn id="6" name="Billing owner"/>
    <x:tableColumn id="7" name="Credential / 2FA location"/>
    <x:tableColumn id="8" name="Current status"/>
    <x:tableColumn id="9" name="Handover action"/>
    <x:tableColumn id="10" name="Confirmed date"/>
    <x:tableColumn id="11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penItemsTable" displayName="OpenItemsTable" ref="A4:I16" headerRowCount="1" totalsRowCount="0" totalsRowShown="0">
  <x:tableColumns count="9">
    <x:tableColumn id="1" name="ID"/>
    <x:tableColumn id="2" name="Type"/>
    <x:tableColumn id="3" name="Workstream"/>
    <x:tableColumn id="4" name="Action"/>
    <x:tableColumn id="5" name="Owner"/>
    <x:tableColumn id="6" name="Status"/>
    <x:tableColumn id="7" name="Target date"/>
    <x:tableColumn id="8" name="Complete when"/>
    <x:tableColumn id="9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eetingChecklistTable" displayName="MeetingChecklistTable" ref="A4:E12" headerRowCount="1" totalsRowCount="0" totalsRowShown="0">
  <x:tableColumns count="5">
    <x:tableColumn id="1" name="Meeting action"/>
    <x:tableColumn id="2" name="Owner"/>
    <x:tableColumn id="3" name="Status"/>
    <x:tableColumn id="4" name="Confirmed date"/>
    <x:tableColumn id="5" name="Notes / evid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0327985edf44b2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0455c0beeb34df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e84acc630094c5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5" hidden="0" customWidth="1"/>
    <x:col min="3" max="3" width="32" hidden="0" customWidth="1"/>
    <x:col min="4" max="4" width="2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0" customHeight="1">
      <x:c r="A1" s="4" t="str">
        <x:v>iProduce Africa — Access and Open Items Register</x:v>
      </x:c>
      <x:c r="B1" s="4"/>
      <x:c r="C1" s="4"/>
      <x:c r="D1" s="4"/>
      <x:c r="E1" s="4"/>
      <x:c r="F1" s="4"/>
      <x:c r="G1" s="4"/>
      <x:c r="H1" s="4"/>
    </x:row>
    <x:row r="2" ht="20" customHeight="1">
      <x:c r="A2" s="5" t="str">
        <x:v>Credential-free handover record · Update during the client handover call</x:v>
      </x:c>
      <x:c r="B2" s="5"/>
      <x:c r="C2" s="5"/>
      <x:c r="D2" s="5"/>
      <x:c r="E2" s="5"/>
      <x:c r="F2" s="5"/>
      <x:c r="G2" s="5"/>
      <x:c r="H2" s="5"/>
    </x:row>
    <x:row r="4" ht="32" customHeight="1">
      <x:c r="A4" s="15" t="str">
        <x:v>Services needing action</x:v>
      </x:c>
      <x:c r="B4" s="15" t="str">
        <x:v>Open required items</x:v>
      </x:c>
      <x:c r="C4" s="15" t="str">
        <x:v>Developer-managed services</x:v>
      </x:c>
      <x:c r="D4" s="15" t="str">
        <x:v>Last reviewed</x:v>
      </x:c>
    </x:row>
    <x:row r="5" ht="24" customHeight="1">
      <x:c r="A5" s="18" t="n">
        <x:f>COUNTIF('Access Register'!H6:H25,"Verify")+COUNTIF('Access Register'!H6:H25,"Action required")+COUNTIF('Access Register'!H6:H25,"Not started")</x:f>
        <x:v>10</x:v>
      </x:c>
      <x:c r="B5" s="18" t="n">
        <x:f>COUNTIF('Open Items'!F6:F25,"Open")</x:f>
        <x:v>9</x:v>
      </x:c>
      <x:c r="C5" s="18" t="n">
        <x:f>COUNTIF('Access Register'!H6:H25,"Developer-managed")</x:f>
        <x:v>4</x:v>
      </x:c>
      <x:c r="D5" s="19" t="n">
        <x:f>TODAY()</x:f>
        <x:v>46237</x:v>
      </x:c>
    </x:row>
    <x:row r="7">
      <x:c r="A7" s="8" t="str">
        <x:v>How to use this workbook</x:v>
      </x:c>
      <x:c r="B7" s="8"/>
      <x:c r="C7" s="8"/>
      <x:c r="D7" s="8"/>
      <x:c r="E7" s="8"/>
      <x:c r="F7" s="8"/>
      <x:c r="G7" s="8"/>
      <x:c r="H7" s="8"/>
    </x:row>
    <x:row r="8" ht="30" customHeight="1">
      <x:c r="A8" s="23" t="str">
        <x:v>1. Review every Access Register row with the client administrator. A login does not by itself prove account, billing, or recovery ownership.</x:v>
      </x:c>
      <x:c r="B8" s="23"/>
      <x:c r="C8" s="23"/>
      <x:c r="D8" s="23"/>
      <x:c r="E8" s="23"/>
      <x:c r="F8" s="23"/>
      <x:c r="G8" s="23"/>
      <x:c r="H8" s="23"/>
    </x:row>
    <x:row r="9" ht="30" customHeight="1">
      <x:c r="A9" s="23" t="str">
        <x:v>2. Record named owners, roles, recovery/2FA location, and a confirmation date. Do not write passwords, recovery codes, secrets, or API keys anywhere in this file.</x:v>
      </x:c>
      <x:c r="B9" s="23"/>
      <x:c r="C9" s="23"/>
      <x:c r="D9" s="23"/>
      <x:c r="E9" s="23"/>
      <x:c r="F9" s="23"/>
      <x:c r="G9" s="23"/>
      <x:c r="H9" s="23"/>
    </x:row>
    <x:row r="10" ht="30" customHeight="1">
      <x:c r="A10" s="23" t="str">
        <x:v>3. Use individual invitations. Complete password resets and 2FA setup directly in each service or the client’s approved password manager.</x:v>
      </x:c>
      <x:c r="B10" s="23"/>
      <x:c r="C10" s="23"/>
      <x:c r="D10" s="23"/>
      <x:c r="E10" s="23"/>
      <x:c r="F10" s="23"/>
      <x:c r="G10" s="23"/>
      <x:c r="H10" s="23"/>
    </x:row>
    <x:row r="11" ht="30" customHeight="1">
      <x:c r="A11" s="23" t="str">
        <x:v>4. Track remaining work in Open Items. Update the Status and completion note once evidence exists; do not mark a task complete based on an assumption.</x:v>
      </x:c>
      <x:c r="B11" s="23"/>
      <x:c r="C11" s="23"/>
      <x:c r="D11" s="23"/>
      <x:c r="E11" s="23"/>
      <x:c r="F11" s="23"/>
      <x:c r="G11" s="23"/>
      <x:c r="H11" s="23"/>
    </x:row>
    <x:row r="12" ht="30" customHeight="1">
      <x:c r="A12" s="23" t="str">
        <x:v>5. GitHub and Vercel are intentionally recorded as developer-managed in the current operational handover. A future technical transfer needs a separate written decision.</x:v>
      </x:c>
      <x:c r="B12" s="23"/>
      <x:c r="C12" s="23"/>
      <x:c r="D12" s="23"/>
      <x:c r="E12" s="23"/>
      <x:c r="F12" s="23"/>
      <x:c r="G12" s="23"/>
      <x:c r="H12" s="23"/>
    </x:row>
    <x:row r="13" ht="30" customHeight="1">
      <x:c r="A13" s="23" t="str">
        <x:v>6. Save the completed workbook in the client-controlled handover Drive folder and make a dated copy whenever service access changes.</x:v>
      </x:c>
      <x:c r="B13" s="23"/>
      <x:c r="C13" s="23"/>
      <x:c r="D13" s="23"/>
      <x:c r="E13" s="23"/>
      <x:c r="F13" s="23"/>
      <x:c r="G13" s="23"/>
      <x:c r="H13" s="23"/>
    </x:row>
    <x:row r="15">
      <x:c r="A15" s="8" t="str">
        <x:v>Status definitions</x:v>
      </x:c>
      <x:c r="B15" s="8"/>
      <x:c r="C15" s="8"/>
      <x:c r="D15" s="8"/>
      <x:c r="E15" s="8"/>
      <x:c r="F15" s="8"/>
      <x:c r="G15" s="8"/>
      <x:c r="H15" s="8"/>
    </x:row>
    <x:row r="16" ht="30" customHeight="1">
      <x:c r="A16" s="27" t="str">
        <x:v>Recorded</x:v>
      </x:c>
      <x:c r="B16" s="26" t="str">
        <x:v>Known from the project record; confirm the named person and current recovery/billing details.</x:v>
      </x:c>
      <x:c r="C16" s="26"/>
      <x:c r="D16" s="26"/>
      <x:c r="E16" s="26"/>
      <x:c r="F16" s="26"/>
      <x:c r="G16" s="26"/>
      <x:c r="H16" s="26"/>
    </x:row>
    <x:row r="17" ht="30" customHeight="1">
      <x:c r="A17" s="27" t="str">
        <x:v>Verify</x:v>
      </x:c>
      <x:c r="B17" s="26" t="str">
        <x:v>A person, role, login, billing/recovery authority, or 2FA detail still needs confirmation.</x:v>
      </x:c>
      <x:c r="C17" s="26"/>
      <x:c r="D17" s="26"/>
      <x:c r="E17" s="26"/>
      <x:c r="F17" s="26"/>
      <x:c r="G17" s="26"/>
      <x:c r="H17" s="26"/>
    </x:row>
    <x:row r="18" ht="30" customHeight="1">
      <x:c r="A18" s="27" t="str">
        <x:v>Action required</x:v>
      </x:c>
      <x:c r="B18" s="26" t="str">
        <x:v>A specific handover action must happen before this service can be treated as ready.</x:v>
      </x:c>
      <x:c r="C18" s="26"/>
      <x:c r="D18" s="26"/>
      <x:c r="E18" s="26"/>
      <x:c r="F18" s="26"/>
      <x:c r="G18" s="26"/>
      <x:c r="H18" s="26"/>
    </x:row>
    <x:row r="19" ht="30" customHeight="1">
      <x:c r="A19" s="27" t="str">
        <x:v>Developer-managed</x:v>
      </x:c>
      <x:c r="B19" s="26" t="str">
        <x:v>Operated by the developer under the current support arrangement; not a pending client invitation.</x:v>
      </x:c>
      <x:c r="C19" s="26"/>
      <x:c r="D19" s="26"/>
      <x:c r="E19" s="26"/>
      <x:c r="F19" s="26"/>
      <x:c r="G19" s="26"/>
      <x:c r="H19" s="26"/>
    </x:row>
    <x:row r="20" ht="30" customHeight="1">
      <x:c r="A20" s="27" t="str">
        <x:v>Not started</x:v>
      </x:c>
      <x:c r="B20" s="26" t="str">
        <x:v>The service or client-owned property has not yet been set up or verified.</x:v>
      </x:c>
      <x:c r="C20" s="26"/>
      <x:c r="D20" s="26"/>
      <x:c r="E20" s="26"/>
      <x:c r="F20" s="26"/>
      <x:c r="G20" s="26"/>
      <x:c r="H20" s="26"/>
    </x:row>
  </x:sheetData>
  <x:mergeCells>
    <x:mergeCell ref="A1:H1"/>
    <x:mergeCell ref="A2:H2"/>
    <x:mergeCell ref="A7:H7"/>
    <x:mergeCell ref="A8:H8"/>
    <x:mergeCell ref="A9:H9"/>
    <x:mergeCell ref="A10:H10"/>
    <x:mergeCell ref="A11:H11"/>
    <x:mergeCell ref="A12:H12"/>
    <x:mergeCell ref="A13:H13"/>
    <x:mergeCell ref="A15:H15"/>
    <x:mergeCell ref="B16:H16"/>
    <x:mergeCell ref="B17:H17"/>
    <x:mergeCell ref="B18:H18"/>
    <x:mergeCell ref="B19:H19"/>
    <x:mergeCell ref="B20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5" hidden="0" customWidth="1"/>
    <x:col min="3" max="3" width="28" hidden="0" customWidth="1"/>
    <x:col min="4" max="4" width="28" hidden="0" customWidth="1"/>
    <x:col min="5" max="5" width="24" hidden="0" customWidth="1"/>
    <x:col min="6" max="6" width="24" hidden="0" customWidth="1"/>
    <x:col min="7" max="7" width="24" hidden="0" customWidth="1"/>
    <x:col min="8" max="8" width="20" hidden="0" customWidth="1"/>
    <x:col min="9" max="9" width="42" hidden="0" customWidth="1"/>
    <x:col min="10" max="10" width="14" hidden="0" customWidth="1"/>
    <x:col min="11" max="11" width="32" hidden="0" customWidth="1"/>
  </x:cols>
  <x:sheetData>
    <x:row r="1">
      <x:c r="A1" s="4" t="str">
        <x:v>Service Access and Ownership Register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>
      <x:c r="A2" s="5" t="str">
        <x:v>Complete named roles and confirmation dates during the handover call. This workbook contains no credentials.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4">
      <x:c r="A4" s="31" t="str">
        <x:v>Service</x:v>
      </x:c>
      <x:c r="B4" s="31" t="str">
        <x:v>Purpose</x:v>
      </x:c>
      <x:c r="C4" s="31" t="str">
        <x:v>Client role / account holder</x:v>
      </x:c>
      <x:c r="D4" s="31" t="str">
        <x:v>Client owner / recovery</x:v>
      </x:c>
      <x:c r="E4" s="31" t="str">
        <x:v>Developer role</x:v>
      </x:c>
      <x:c r="F4" s="31" t="str">
        <x:v>Billing owner</x:v>
      </x:c>
      <x:c r="G4" s="31" t="str">
        <x:v>Credential / 2FA location</x:v>
      </x:c>
      <x:c r="H4" s="31" t="str">
        <x:v>Current status</x:v>
      </x:c>
      <x:c r="I4" s="31" t="str">
        <x:v>Handover action</x:v>
      </x:c>
      <x:c r="J4" s="31" t="str">
        <x:v>Confirmed date</x:v>
      </x:c>
      <x:c r="K4" s="31" t="str">
        <x:v>Notes</x:v>
      </x:c>
    </x:row>
    <x:row r="5" ht="48" customHeight="1">
      <x:c r="A5" s="26" t="str">
        <x:v>Sanity CMS</x:v>
      </x:c>
      <x:c r="B5" s="26" t="str">
        <x:v>Website editorial content at /admin</x:v>
      </x:c>
      <x:c r="C5" s="26" t="str">
        <x:v>Tobi Seun Ajayi — ibotajayi@gmail.com — nominated CMS administrator</x:v>
      </x:c>
      <x:c r="D5" s="26" t="str">
        <x:v>Tobi Seun Ajayi — ibotajayi@gmail.com — ownership and recovery authority to confirm</x:v>
      </x:c>
      <x:c r="E5" s="26" t="str">
        <x:v>CMS structure and technical support</x:v>
      </x:c>
      <x:c r="F5" s="26" t="str">
        <x:v>Client — confirm</x:v>
      </x:c>
      <x:c r="G5" s="26" t="str">
        <x:v>Client password manager — verify</x:v>
      </x:c>
      <x:c r="H5" s="26" t="str">
        <x:v>Verify</x:v>
      </x:c>
      <x:c r="I5" s="26" t="str">
        <x:v>Confirm named administrator, organisation/project authority, billing/recovery, 2FA, and editor invitations.</x:v>
      </x:c>
      <x:c r="J5" s="32"/>
      <x:c r="K5" s="26" t="str">
        <x:v>Production dataset is live; editors use individual invitations.</x:v>
      </x:c>
    </x:row>
    <x:row r="6" ht="48" customHeight="1">
      <x:c r="A6" s="26" t="str">
        <x:v>Resend</x:v>
      </x:c>
      <x:c r="B6" s="26" t="str">
        <x:v>Operational form email delivery</x:v>
      </x:c>
      <x:c r="C6" s="26" t="str">
        <x:v>Client Owner recorded</x:v>
      </x:c>
      <x:c r="D6" s="26" t="str">
        <x:v>Named client Owner — verify</x:v>
      </x:c>
      <x:c r="E6" s="26" t="str">
        <x:v>Technical configuration support</x:v>
      </x:c>
      <x:c r="F6" s="26" t="str">
        <x:v>Client — confirm</x:v>
      </x:c>
      <x:c r="G6" s="26" t="str">
        <x:v>Client password manager — verify</x:v>
      </x:c>
      <x:c r="H6" s="26" t="str">
        <x:v>Verify</x:v>
      </x:c>
      <x:c r="I6" s="26" t="str">
        <x:v>Confirm the named Owner can manage domain, sending, team access, billing, and 2FA.</x:v>
      </x:c>
      <x:c r="J6" s="32"/>
      <x:c r="K6" s="26" t="str">
        <x:v>Repository record states the client is the Resend Owner.</x:v>
      </x:c>
    </x:row>
    <x:row r="7" ht="48" customHeight="1">
      <x:c r="A7" s="26" t="str">
        <x:v>Mailchimp</x:v>
      </x:c>
      <x:c r="B7" s="26" t="str">
        <x:v>Newsletter subscriptions and campaigns</x:v>
      </x:c>
      <x:c r="C7" s="26" t="str">
        <x:v>Client Owner / newsletter administrator — verify</x:v>
      </x:c>
      <x:c r="D7" s="26" t="str">
        <x:v>Named client Owner — verify</x:v>
      </x:c>
      <x:c r="E7" s="26" t="str">
        <x:v>Newsletter technical support</x:v>
      </x:c>
      <x:c r="F7" s="26" t="str">
        <x:v>Client — confirm</x:v>
      </x:c>
      <x:c r="G7" s="26" t="str">
        <x:v>Client password manager — verify</x:v>
      </x:c>
      <x:c r="H7" s="26" t="str">
        <x:v>Verify</x:v>
      </x:c>
      <x:c r="I7" s="26" t="str">
        <x:v>Confirm Owner, team invitations, billing/recovery, audience permissions, and 2FA.</x:v>
      </x:c>
      <x:c r="J7" s="32"/>
      <x:c r="K7" s="26" t="str">
        <x:v>Keep subscriber data and campaign ownership client-controlled.</x:v>
      </x:c>
    </x:row>
    <x:row r="8" ht="48" customHeight="1">
      <x:c r="A8" s="26" t="str">
        <x:v>Zoho Mail</x:v>
      </x:c>
      <x:c r="B8" s="26" t="str">
        <x:v>Business email and form inboxes</x:v>
      </x:c>
      <x:c r="C8" s="26" t="str">
        <x:v>Client administrator</x:v>
      </x:c>
      <x:c r="D8" s="26" t="str">
        <x:v>Client email administrator — verify</x:v>
      </x:c>
      <x:c r="E8" s="26" t="str">
        <x:v>Initial setup support</x:v>
      </x:c>
      <x:c r="F8" s="26" t="str">
        <x:v>Client — confirm</x:v>
      </x:c>
      <x:c r="G8" s="26" t="str">
        <x:v>Client password manager — required</x:v>
      </x:c>
      <x:c r="H8" s="26" t="str">
        <x:v>Action required</x:v>
      </x:c>
      <x:c r="I8" s="26" t="str">
        <x:v>Rotate temporary dev@ and content@ passwords; confirm recovery details and 2FA directly with the client administrator.</x:v>
      </x:c>
      <x:c r="J8" s="32"/>
      <x:c r="K8" s="26" t="str">
        <x:v>Never record replacement passwords here.</x:v>
      </x:c>
    </x:row>
    <x:row r="9" ht="48" customHeight="1">
      <x:c r="A9" s="26" t="str">
        <x:v>Domain registrar / DNS</x:v>
      </x:c>
      <x:c r="B9" s="26" t="str">
        <x:v>Domain renewal, DNS records, and email routing</x:v>
      </x:c>
      <x:c r="C9" s="26" t="str">
        <x:v>Client owner — verify</x:v>
      </x:c>
      <x:c r="D9" s="26" t="str">
        <x:v>Tobi Seun Ajayi — ibotajayi@gmail.com — nominated technical contact; registrar/DNS authority to confirm</x:v>
      </x:c>
      <x:c r="E9" s="26" t="str">
        <x:v>DNS change support</x:v>
      </x:c>
      <x:c r="F9" s="26" t="str">
        <x:v>Client — confirm</x:v>
      </x:c>
      <x:c r="G9" s="26" t="str">
        <x:v>Client password manager — verify</x:v>
      </x:c>
      <x:c r="H9" s="26" t="str">
        <x:v>Verify</x:v>
      </x:c>
      <x:c r="I9" s="26" t="str">
        <x:v>Confirm registrar, DNS-zone administrator, renewal/billing owner, recovery contact, and current website-record TTL.</x:v>
      </x:c>
      <x:c r="J9" s="32"/>
      <x:c r="K9" s="26" t="str">
        <x:v>Do not change Zoho/Resend/Mailchimp email records without a controlled review.</x:v>
      </x:c>
    </x:row>
    <x:row r="10" ht="48" customHeight="1">
      <x:c r="A10" s="26" t="str">
        <x:v>Cloudflare Turnstile</x:v>
      </x:c>
      <x:c r="B10" s="26" t="str">
        <x:v>Public form bot protection</x:v>
      </x:c>
      <x:c r="C10" s="26" t="str">
        <x:v>Developer-managed</x:v>
      </x:c>
      <x:c r="D10" s="26" t="str">
        <x:v>Developer-managed</x:v>
      </x:c>
      <x:c r="E10" s="26" t="str">
        <x:v>Owns configuration and secret rotation</x:v>
      </x:c>
      <x:c r="F10" s="26" t="str">
        <x:v>Developer — confirm</x:v>
      </x:c>
      <x:c r="G10" s="26" t="str">
        <x:v>Developer password manager</x:v>
      </x:c>
      <x:c r="H10" s="26" t="str">
        <x:v>Developer-managed</x:v>
      </x:c>
      <x:c r="I10" s="26" t="str">
        <x:v>Record the support contact; do not expose site secrets in client documents.</x:v>
      </x:c>
      <x:c r="J10" s="32"/>
      <x:c r="K10" s="26" t="str">
        <x:v>Current arrangement supplied by developer.</x:v>
      </x:c>
    </x:row>
    <x:row r="11" ht="48" customHeight="1">
      <x:c r="A11" s="26" t="str">
        <x:v>Upstash</x:v>
      </x:c>
      <x:c r="B11" s="26" t="str">
        <x:v>Public form rate limiting</x:v>
      </x:c>
      <x:c r="C11" s="26" t="str">
        <x:v>Developer-managed</x:v>
      </x:c>
      <x:c r="D11" s="26" t="str">
        <x:v>Developer-managed</x:v>
      </x:c>
      <x:c r="E11" s="26" t="str">
        <x:v>Owns configuration and secret rotation</x:v>
      </x:c>
      <x:c r="F11" s="26" t="str">
        <x:v>Developer — confirm</x:v>
      </x:c>
      <x:c r="G11" s="26" t="str">
        <x:v>Developer password manager</x:v>
      </x:c>
      <x:c r="H11" s="26" t="str">
        <x:v>Developer-managed</x:v>
      </x:c>
      <x:c r="I11" s="26" t="str">
        <x:v>Record the support contact; do not expose credentials in client documents.</x:v>
      </x:c>
      <x:c r="J11" s="32"/>
      <x:c r="K11" s="26" t="str">
        <x:v>Current arrangement supplied by developer.</x:v>
      </x:c>
    </x:row>
    <x:row r="12" ht="48" customHeight="1">
      <x:c r="A12" s="26" t="str">
        <x:v>GitHub repository</x:v>
      </x:c>
      <x:c r="B12" s="26" t="str">
        <x:v>Website source control</x:v>
      </x:c>
      <x:c r="C12" s="26" t="str">
        <x:v>Developer-managed</x:v>
      </x:c>
      <x:c r="D12" s="26" t="str">
        <x:v>Developer-managed</x:v>
      </x:c>
      <x:c r="E12" s="26" t="str">
        <x:v>Owns repository administration</x:v>
      </x:c>
      <x:c r="F12" s="26" t="str">
        <x:v>Developer — confirm</x:v>
      </x:c>
      <x:c r="G12" s="26" t="str">
        <x:v>Developer password manager</x:v>
      </x:c>
      <x:c r="H12" s="26" t="str">
        <x:v>Developer-managed</x:v>
      </x:c>
      <x:c r="I12" s="26" t="str">
        <x:v>No access transfer is implied by this operational handover. Revisit only under separate written technical-transfer scope.</x:v>
      </x:c>
      <x:c r="J12" s="32"/>
      <x:c r="K12" s="26" t="str">
        <x:v>Deferred by current handover decision.</x:v>
      </x:c>
    </x:row>
    <x:row r="13" ht="48" customHeight="1">
      <x:c r="A13" s="26" t="str">
        <x:v>Vercel</x:v>
      </x:c>
      <x:c r="B13" s="26" t="str">
        <x:v>Website hosting and deployments</x:v>
      </x:c>
      <x:c r="C13" s="26" t="str">
        <x:v>Developer-managed</x:v>
      </x:c>
      <x:c r="D13" s="26" t="str">
        <x:v>Developer-managed</x:v>
      </x:c>
      <x:c r="E13" s="26" t="str">
        <x:v>Owns deployment administration and environment settings</x:v>
      </x:c>
      <x:c r="F13" s="26" t="str">
        <x:v>Developer — confirm</x:v>
      </x:c>
      <x:c r="G13" s="26" t="str">
        <x:v>Developer password manager</x:v>
      </x:c>
      <x:c r="H13" s="26" t="str">
        <x:v>Developer-managed</x:v>
      </x:c>
      <x:c r="I13" s="26" t="str">
        <x:v>No access transfer is implied by this operational handover. Revisit only under separate written technical-transfer scope.</x:v>
      </x:c>
      <x:c r="J13" s="32"/>
      <x:c r="K13" s="26" t="str">
        <x:v>Deferred by current handover decision.</x:v>
      </x:c>
    </x:row>
    <x:row r="14" ht="48" customHeight="1">
      <x:c r="A14" s="26" t="str">
        <x:v>Google Search Console</x:v>
      </x:c>
      <x:c r="B14" s="26" t="str">
        <x:v>Search monitoring and sitemap submission</x:v>
      </x:c>
      <x:c r="C14" s="26" t="str">
        <x:v>Client owner — not yet confirmed</x:v>
      </x:c>
      <x:c r="D14" s="26" t="str">
        <x:v>Tobi Seun Ajayi — ibotajayi@gmail.com — nominated technical contact; property ownership to confirm</x:v>
      </x:c>
      <x:c r="E14" s="26" t="str">
        <x:v>Setup support</x:v>
      </x:c>
      <x:c r="F14" s="26" t="str">
        <x:v>Client — confirm</x:v>
      </x:c>
      <x:c r="G14" s="26" t="str">
        <x:v>Client password manager — verify</x:v>
      </x:c>
      <x:c r="H14" s="26" t="str">
        <x:v>Not started</x:v>
      </x:c>
      <x:c r="I14" s="26" t="str">
        <x:v>Create or verify a client-owned property and submit https://iproduceafrica.com/sitemap.xml.</x:v>
      </x:c>
      <x:c r="J14" s="32"/>
      <x:c r="K14" s="26" t="str">
        <x:v>Use individual client accounts, not a shared developer login.</x:v>
      </x:c>
    </x:row>
    <x:row r="15" ht="48" customHeight="1">
      <x:c r="A15" s="26" t="str">
        <x:v>Bing Webmaster Tools</x:v>
      </x:c>
      <x:c r="B15" s="26" t="str">
        <x:v>Bing search monitoring and sitemap submission</x:v>
      </x:c>
      <x:c r="C15" s="26" t="str">
        <x:v>Client owner — not yet confirmed</x:v>
      </x:c>
      <x:c r="D15" s="26" t="str">
        <x:v>Tobi Seun Ajayi — ibotajayi@gmail.com — nominated technical contact; property ownership to confirm</x:v>
      </x:c>
      <x:c r="E15" s="26" t="str">
        <x:v>Setup support</x:v>
      </x:c>
      <x:c r="F15" s="26" t="str">
        <x:v>Client — confirm</x:v>
      </x:c>
      <x:c r="G15" s="26" t="str">
        <x:v>Client password manager — verify</x:v>
      </x:c>
      <x:c r="H15" s="26" t="str">
        <x:v>Not started</x:v>
      </x:c>
      <x:c r="I15" s="26" t="str">
        <x:v>Create or verify a client-owned property and submit the website sitemap.</x:v>
      </x:c>
      <x:c r="J15" s="32"/>
      <x:c r="K15" s="26" t="str">
        <x:v>Use individual client accounts, not a shared developer login.</x:v>
      </x:c>
    </x:row>
    <x:row r="16" ht="48" customHeight="1">
      <x:c r="A16" s="26" t="str">
        <x:v>LMS / Netlify</x:v>
      </x:c>
      <x:c r="B16" s="26" t="str">
        <x:v>Separate learning platform</x:v>
      </x:c>
      <x:c r="C16" s="26" t="str">
        <x:v>Scope and owner — verify</x:v>
      </x:c>
      <x:c r="D16" s="26" t="str">
        <x:v>LMS administrator — verify</x:v>
      </x:c>
      <x:c r="E16" s="26" t="str">
        <x:v>Website links only; LMS operations are separate</x:v>
      </x:c>
      <x:c r="F16" s="26" t="str">
        <x:v>Confirm</x:v>
      </x:c>
      <x:c r="G16" s="26" t="str">
        <x:v>Confirm</x:v>
      </x:c>
      <x:c r="H16" s="26" t="str">
        <x:v>Verify</x:v>
      </x:c>
      <x:c r="I16" s="26" t="str">
        <x:v>Record the LMS owner, hosting/billing role, learner-support contact, and public course URL process.</x:v>
      </x:c>
      <x:c r="J16" s="32"/>
      <x:c r="K16" s="26" t="str">
        <x:v>The website does not own learner accounts, enrolment, progress, or certificates.</x:v>
      </x:c>
    </x:row>
    <x:row r="17" ht="48" customHeight="1">
      <x:c r="A17" s="26" t="str">
        <x:v>Figma / asset library</x:v>
      </x:c>
      <x:c r="B17" s="26" t="str">
        <x:v>Source design files and approved creative assets</x:v>
      </x:c>
      <x:c r="C17" s="26" t="str">
        <x:v>Client owner — verify</x:v>
      </x:c>
      <x:c r="D17" s="26" t="str">
        <x:v>Named asset/design administrator — verify</x:v>
      </x:c>
      <x:c r="E17" s="26" t="str">
        <x:v>Design handover support</x:v>
      </x:c>
      <x:c r="F17" s="26" t="str">
        <x:v>Client — confirm</x:v>
      </x:c>
      <x:c r="G17" s="26" t="str">
        <x:v>Client password manager — verify</x:v>
      </x:c>
      <x:c r="H17" s="26" t="str">
        <x:v>Verify</x:v>
      </x:c>
      <x:c r="I17" s="26" t="str">
        <x:v>Record the approved source links, permissions, and licence/asset ownership where applicable.</x:v>
      </x:c>
      <x:c r="J17" s="32"/>
      <x:c r="K17" s="26" t="str">
        <x:v>Only include if such a service is in current use.</x:v>
      </x:c>
    </x:row>
    <x:row r="18" ht="48" customHeight="1">
      <x:c r="A18" s="26" t="str">
        <x:v>Apple / Google developer accounts</x:v>
      </x:c>
      <x:c r="B18" s="26" t="str">
        <x:v>Future app-store publishing</x:v>
      </x:c>
      <x:c r="C18" s="26" t="str">
        <x:v>Not applicable until app rollout</x:v>
      </x:c>
      <x:c r="D18" s="26" t="str">
        <x:v>Future client app owner</x:v>
      </x:c>
      <x:c r="E18" s="26" t="str">
        <x:v>Website promotion support only</x:v>
      </x:c>
      <x:c r="F18" s="26" t="str">
        <x:v>Client when applicable</x:v>
      </x:c>
      <x:c r="G18" s="26" t="str">
        <x:v>Client password manager</x:v>
      </x:c>
      <x:c r="H18" s="26" t="str">
        <x:v>Not started</x:v>
      </x:c>
      <x:c r="I18" s="26" t="str">
        <x:v>Do not create or share store accounts for website handover unless the mobile-app rollout has approved scope.</x:v>
      </x:c>
      <x:c r="J18" s="32"/>
      <x:c r="K18" s="26" t="str">
        <x:v>Required only when official listings are ready.</x:v>
      </x:c>
    </x:row>
    <x:row r="19" ht="48" customHeight="1">
      <x:c r="A19" s="26" t="str">
        <x:v>Google Drive handover folder</x:v>
      </x:c>
      <x:c r="B19" s="26" t="str">
        <x:v>Permanent client reference pack</x:v>
      </x:c>
      <x:c r="C19" s="26" t="str">
        <x:v>Client owner — confirm</x:v>
      </x:c>
      <x:c r="D19" s="26" t="str">
        <x:v>Tobi Seun Ajayi — ibotajayi@gmail.com — nominated technical contact; folder ownership to confirm</x:v>
      </x:c>
      <x:c r="E19" s="26" t="str">
        <x:v>Can retain backup only if agreed</x:v>
      </x:c>
      <x:c r="F19" s="26" t="str">
        <x:v>Client — confirm</x:v>
      </x:c>
      <x:c r="G19" s="26" t="str">
        <x:v>Client password manager / Google Workspace</x:v>
      </x:c>
      <x:c r="H19" s="26" t="str">
        <x:v>Verify</x:v>
      </x:c>
      <x:c r="I19" s="26" t="str">
        <x:v>Confirm client-controlled folder owner, editors/viewers, and recording/document links.</x:v>
      </x:c>
      <x:c r="J19" s="32"/>
      <x:c r="K19" s="26" t="str">
        <x:v>Do not use open-link sharing by default.</x:v>
      </x:c>
    </x:row>
  </x:sheetData>
  <x:mergeCells>
    <x:mergeCell ref="A1:K1"/>
    <x:mergeCell ref="A2:K2"/>
  </x:mergeCells>
  <x:conditionalFormatting sqref="H5:H19">
    <x:cfRule type="containsText" dxfId="0" priority="1" operator="containsText" text="Action required"/>
    <x:cfRule type="containsText" dxfId="1" priority="2" operator="containsText" text="Verify"/>
    <x:cfRule type="containsText" dxfId="2" priority="3" operator="containsText" text="Developer-managed"/>
    <x:cfRule type="containsText" dxfId="3" priority="4" operator="containsText" text="Recorded"/>
  </x:conditionalFormatting>
  <x:dataValidations count="1">
    <x:dataValidation type="list" sqref="H5:H19">
      <x:formula1>"Recorded,Verify,Action required,Developer-managed,Not started,Complete"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0327985edf44b2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22" hidden="0" customWidth="1"/>
    <x:col min="4" max="4" width="48" hidden="0" customWidth="1"/>
    <x:col min="5" max="5" width="30" hidden="0" customWidth="1"/>
    <x:col min="6" max="6" width="18" hidden="0" customWidth="1"/>
    <x:col min="7" max="7" width="14" hidden="0" customWidth="1"/>
    <x:col min="8" max="8" width="40" hidden="0" customWidth="1"/>
    <x:col min="9" max="9" width="35" hidden="0" customWidth="1"/>
  </x:cols>
  <x:sheetData>
    <x:row r="1">
      <x:c r="A1" s="4" t="str">
        <x:v>Open Items and Evidence Tracker</x:v>
      </x:c>
      <x:c r="B1" s="4"/>
      <x:c r="C1" s="4"/>
      <x:c r="D1" s="4"/>
      <x:c r="E1" s="4"/>
      <x:c r="F1" s="4"/>
      <x:c r="G1" s="4"/>
      <x:c r="H1" s="4"/>
      <x:c r="I1" s="4"/>
    </x:row>
    <x:row r="2">
      <x:c r="A2" s="5" t="str">
        <x:v>Keep client obligations separate from developer/shared actions. Close only when the stated evidence exists.</x:v>
      </x:c>
      <x:c r="B2" s="5"/>
      <x:c r="C2" s="5"/>
      <x:c r="D2" s="5"/>
      <x:c r="E2" s="5"/>
      <x:c r="F2" s="5"/>
      <x:c r="G2" s="5"/>
      <x:c r="H2" s="5"/>
      <x:c r="I2" s="5"/>
    </x:row>
    <x:row r="4">
      <x:c r="A4" s="31" t="str">
        <x:v>ID</x:v>
      </x:c>
      <x:c r="B4" s="31" t="str">
        <x:v>Type</x:v>
      </x:c>
      <x:c r="C4" s="31" t="str">
        <x:v>Workstream</x:v>
      </x:c>
      <x:c r="D4" s="31" t="str">
        <x:v>Action</x:v>
      </x:c>
      <x:c r="E4" s="31" t="str">
        <x:v>Owner</x:v>
      </x:c>
      <x:c r="F4" s="31" t="str">
        <x:v>Status</x:v>
      </x:c>
      <x:c r="G4" s="31" t="str">
        <x:v>Target date</x:v>
      </x:c>
      <x:c r="H4" s="31" t="str">
        <x:v>Complete when</x:v>
      </x:c>
      <x:c r="I4" s="31" t="str">
        <x:v>Notes</x:v>
      </x:c>
    </x:row>
    <x:row r="5" ht="46" customHeight="1">
      <x:c r="A5" s="26" t="str">
        <x:v>C-01</x:v>
      </x:c>
      <x:c r="B5" s="26" t="str">
        <x:v>Client</x:v>
      </x:c>
      <x:c r="C5" s="26" t="str">
        <x:v>Legal pages</x:v>
      </x:c>
      <x:c r="D5" s="26" t="str">
        <x:v>Have client counsel approve or replace the working legal-page copy before treating it as final legal guidance.</x:v>
      </x:c>
      <x:c r="E5" s="26" t="str">
        <x:v>Client counsel</x:v>
      </x:c>
      <x:c r="F5" s="26" t="str">
        <x:v>Open</x:v>
      </x:c>
      <x:c r="G5" s="32"/>
      <x:c r="H5" s="26" t="str">
        <x:v>Approved replacement copy published or written counsel approval recorded.</x:v>
      </x:c>
      <x:c r="I5" s="26" t="str">
        <x:v>The current wording is a working baseline, not legal advice.</x:v>
      </x:c>
    </x:row>
    <x:row r="6" ht="46" customHeight="1">
      <x:c r="A6" s="26" t="str">
        <x:v>C-02</x:v>
      </x:c>
      <x:c r="B6" s="26" t="str">
        <x:v>Client</x:v>
      </x:c>
      <x:c r="C6" s="26" t="str">
        <x:v>Academy events</x:v>
      </x:c>
      <x:c r="D6" s="26" t="str">
        <x:v>Confirm real start dates/times before the six placeholder events are treated as genuine launch content.</x:v>
      </x:c>
      <x:c r="E6" s="26" t="str">
        <x:v>Client content lead</x:v>
      </x:c>
      <x:c r="F6" s="26" t="str">
        <x:v>Open</x:v>
      </x:c>
      <x:c r="G6" s="32"/>
      <x:c r="H6" s="26" t="str">
        <x:v>Verified dates/times entered and published in the CMS.</x:v>
      </x:c>
      <x:c r="I6" s="26" t="str">
        <x:v>Do not publish uncertain event details.</x:v>
      </x:c>
    </x:row>
    <x:row r="7" ht="46" customHeight="1">
      <x:c r="A7" s="26" t="str">
        <x:v>C-03</x:v>
      </x:c>
      <x:c r="B7" s="26" t="str">
        <x:v>Client</x:v>
      </x:c>
      <x:c r="C7" s="26" t="str">
        <x:v>Zoho security</x:v>
      </x:c>
      <x:c r="D7" s="26" t="str">
        <x:v>Rotate temporary dev@ and content@ passwords and confirm recovery details/2FA.</x:v>
      </x:c>
      <x:c r="E7" s="26" t="str">
        <x:v>Tobi Seun Ajayi</x:v>
      </x:c>
      <x:c r="F7" s="26" t="str">
        <x:v>Open</x:v>
      </x:c>
      <x:c r="G7" s="32"/>
      <x:c r="H7" s="26" t="str">
        <x:v>Client-set passwords, individual access, recovery details, and 2FA verified directly.</x:v>
      </x:c>
      <x:c r="I7" s="26" t="str">
        <x:v>No passwords in the workbook or meeting recording.</x:v>
      </x:c>
    </x:row>
    <x:row r="8" ht="46" customHeight="1">
      <x:c r="A8" s="26" t="str">
        <x:v>C-04</x:v>
      </x:c>
      <x:c r="B8" s="26" t="str">
        <x:v>Client</x:v>
      </x:c>
      <x:c r="C8" s="26" t="str">
        <x:v>LMS/mobile rollout</x:v>
      </x:c>
      <x:c r="D8" s="26" t="str">
        <x:v>Approve content, public LMS links, and mobile-app messaging before publishing the rollout to Production.</x:v>
      </x:c>
      <x:c r="E8" s="26" t="str">
        <x:v>Client decision-maker</x:v>
      </x:c>
      <x:c r="F8" s="26" t="str">
        <x:v>Open</x:v>
      </x:c>
      <x:c r="G8" s="32"/>
      <x:c r="H8" s="26" t="str">
        <x:v>Written approval plus reviewed Production content and public links.</x:v>
      </x:c>
      <x:c r="I8" s="26" t="str">
        <x:v>Website foundations exist; public rollout is separate.</x:v>
      </x:c>
    </x:row>
    <x:row r="9" ht="46" customHeight="1">
      <x:c r="A9" s="26" t="str">
        <x:v>C-05</x:v>
      </x:c>
      <x:c r="B9" s="26" t="str">
        <x:v>Client</x:v>
      </x:c>
      <x:c r="C9" s="26" t="str">
        <x:v>LMS course links</x:v>
      </x:c>
      <x:c r="D9" s="26" t="str">
        <x:v>Provide one verified public LMS course URL for each LMS-backed course.</x:v>
      </x:c>
      <x:c r="E9" s="26" t="str">
        <x:v>Client LMS owner</x:v>
      </x:c>
      <x:c r="F9" s="26" t="str">
        <x:v>Open</x:v>
      </x:c>
      <x:c r="G9" s="32"/>
      <x:c r="H9" s="26" t="str">
        <x:v>Each applicable Course record links to a public course page, not a generic login.</x:v>
      </x:c>
      <x:c r="I9" s="26" t="str">
        <x:v>The website does not own LMS accounts or learning data.</x:v>
      </x:c>
    </x:row>
    <x:row r="10" ht="46" customHeight="1">
      <x:c r="A10" s="26" t="str">
        <x:v>C-06</x:v>
      </x:c>
      <x:c r="B10" s="26" t="str">
        <x:v>Client</x:v>
      </x:c>
      <x:c r="C10" s="26" t="str">
        <x:v>About Story video</x:v>
      </x:c>
      <x:c r="D10" s="26" t="str">
        <x:v>Provide an approved YouTube/Vimeo URL if the optional story video will be used.</x:v>
      </x:c>
      <x:c r="E10" s="26" t="str">
        <x:v>Client content lead</x:v>
      </x:c>
      <x:c r="F10" s="26" t="str">
        <x:v>Optional</x:v>
      </x:c>
      <x:c r="G10" s="32"/>
      <x:c r="H10" s="26" t="str">
        <x:v>Approved public/embeddable URL added and checked on About.</x:v>
      </x:c>
      <x:c r="I10" s="26" t="str">
        <x:v>No migration required.</x:v>
      </x:c>
    </x:row>
    <x:row r="11" ht="46" customHeight="1">
      <x:c r="A11" s="26" t="str">
        <x:v>C-07</x:v>
      </x:c>
      <x:c r="B11" s="26" t="str">
        <x:v>Client</x:v>
      </x:c>
      <x:c r="C11" s="26" t="str">
        <x:v>Store listing assets</x:v>
      </x:c>
      <x:c r="D11" s="26" t="str">
        <x:v>Provide official badge artwork only after verified App Store/Google Play listings exist.</x:v>
      </x:c>
      <x:c r="E11" s="26" t="str">
        <x:v>Client app owner</x:v>
      </x:c>
      <x:c r="F11" s="26" t="str">
        <x:v>Optional</x:v>
      </x:c>
      <x:c r="G11" s="32"/>
      <x:c r="H11" s="26" t="str">
        <x:v>Listing is verified and platform-authorised promotional asset is available.</x:v>
      </x:c>
      <x:c r="I11" s="26" t="str">
        <x:v>Do not use recreated or unapproved store marks.</x:v>
      </x:c>
    </x:row>
    <x:row r="12" ht="46" customHeight="1">
      <x:c r="A12" s="26" t="str">
        <x:v>D-01</x:v>
      </x:c>
      <x:c r="B12" s="26" t="str">
        <x:v>Developer/shared</x:v>
      </x:c>
      <x:c r="C12" s="26" t="str">
        <x:v>Newsletter lifecycle</x:v>
      </x:c>
      <x:c r="D12" s="26" t="str">
        <x:v>Record live evidence for unsubscribe, repeat-after-unsubscribe, and hosted rejoin.</x:v>
      </x:c>
      <x:c r="E12" s="26" t="str">
        <x:v>Developer / client newsletter owner</x:v>
      </x:c>
      <x:c r="F12" s="26" t="str">
        <x:v>Open</x:v>
      </x:c>
      <x:c r="G12" s="32"/>
      <x:c r="H12" s="26" t="str">
        <x:v>Recorded end-to-end result for every remaining transition.</x:v>
      </x:c>
      <x:c r="I12" s="26" t="str">
        <x:v>Pending-to-subscribed plus source tag is already evidenced.</x:v>
      </x:c>
    </x:row>
    <x:row r="13" ht="46" customHeight="1">
      <x:c r="A13" s="26" t="str">
        <x:v>D-02</x:v>
      </x:c>
      <x:c r="B13" s="26" t="str">
        <x:v>Developer/shared</x:v>
      </x:c>
      <x:c r="C13" s="26" t="str">
        <x:v>Search ownership</x:v>
      </x:c>
      <x:c r="D13" s="26" t="str">
        <x:v>Create or verify client-owned Google Search Console and Bing properties; submit sitemap.</x:v>
      </x:c>
      <x:c r="E13" s="26" t="str">
        <x:v>Tobi Seun Ajayi with website developer support</x:v>
      </x:c>
      <x:c r="F13" s="26" t="str">
        <x:v>Open</x:v>
      </x:c>
      <x:c r="G13" s="32"/>
      <x:c r="H13" s="26" t="str">
        <x:v>Client ownership recorded and sitemap submitted.</x:v>
      </x:c>
      <x:c r="I13" s="26" t="str">
        <x:v>Use the live sitemap URL.</x:v>
      </x:c>
    </x:row>
    <x:row r="14" ht="46" customHeight="1">
      <x:c r="A14" s="26" t="str">
        <x:v>D-03</x:v>
      </x:c>
      <x:c r="B14" s="26" t="str">
        <x:v>Developer/shared</x:v>
      </x:c>
      <x:c r="C14" s="26" t="str">
        <x:v>Access register</x:v>
      </x:c>
      <x:c r="D14" s="26" t="str">
        <x:v>Confirm every required row with a named owner, recovery/2FA location, billing role, and date.</x:v>
      </x:c>
      <x:c r="E14" s="26" t="str">
        <x:v>Tobi Seun Ajayi and website developer</x:v>
      </x:c>
      <x:c r="F14" s="26" t="str">
        <x:v>Open</x:v>
      </x:c>
      <x:c r="G14" s="32"/>
      <x:c r="H14" s="26" t="str">
        <x:v>No remaining Verify or Action required rows except deliberate developer-managed services.</x:v>
      </x:c>
      <x:c r="I14" s="26" t="str">
        <x:v>Complete during the live handover meeting.</x:v>
      </x:c>
    </x:row>
    <x:row r="15" ht="46" customHeight="1">
      <x:c r="A15" s="26" t="str">
        <x:v>D-04</x:v>
      </x:c>
      <x:c r="B15" s="26" t="str">
        <x:v>Developer</x:v>
      </x:c>
      <x:c r="C15" s="26" t="str">
        <x:v>Home tablet layout</x:v>
      </x:c>
      <x:c r="D15" s="26" t="str">
        <x:v>Resolve the small partner-marquee page-level horizontal overflow around 1024px.</x:v>
      </x:c>
      <x:c r="E15" s="26" t="str">
        <x:v>Developer</x:v>
      </x:c>
      <x:c r="F15" s="26" t="str">
        <x:v>Open</x:v>
      </x:c>
      <x:c r="G15" s="32"/>
      <x:c r="H15" s="26" t="str">
        <x:v>Browser retest at 1024px has no page-level horizontal overflow.</x:v>
      </x:c>
      <x:c r="I15" s="26" t="str">
        <x:v>Known issue; unrelated to the LMS/mobile work.</x:v>
      </x:c>
    </x:row>
    <x:row r="16" ht="46" customHeight="1">
      <x:c r="A16" s="26" t="str">
        <x:v>D-05</x:v>
      </x:c>
      <x:c r="B16" s="26" t="str">
        <x:v>Developer/shared</x:v>
      </x:c>
      <x:c r="C16" s="26" t="str">
        <x:v>DNS closeout evidence</x:v>
      </x:c>
      <x:c r="D16" s="26" t="str">
        <x:v>Verify and record the current website-record TTL and DNS-zone owner after the stable launch window.</x:v>
      </x:c>
      <x:c r="E16" s="26" t="str">
        <x:v>Tobi Seun Ajayi with website developer support</x:v>
      </x:c>
      <x:c r="F16" s="26" t="str">
        <x:v>Open</x:v>
      </x:c>
      <x:c r="G16" s="32"/>
      <x:c r="H16" s="26" t="str">
        <x:v>Current DNS-zone export/screenshot and access owner recorded in this register.</x:v>
      </x:c>
      <x:c r="I16" s="26" t="str">
        <x:v>Do not change mail-related records during website DNS work.</x:v>
      </x:c>
    </x:row>
  </x:sheetData>
  <x:mergeCells>
    <x:mergeCell ref="A1:I1"/>
    <x:mergeCell ref="A2:I2"/>
  </x:mergeCells>
  <x:conditionalFormatting sqref="F5:F16">
    <x:cfRule type="containsText" dxfId="4" priority="1" operator="containsText" text="Open"/>
    <x:cfRule type="containsText" dxfId="5" priority="2" operator="containsText" text="In progress"/>
    <x:cfRule type="containsText" dxfId="6" priority="3" operator="containsText" text="Waiting on client"/>
    <x:cfRule type="containsText" dxfId="7" priority="4" operator="containsText" text="Complete"/>
  </x:conditionalFormatting>
  <x:dataValidations count="1">
    <x:dataValidation type="list" sqref="F5:F16">
      <x:formula1>"Open,In progress,Waiting on client,Optional,Complete"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0455c0beeb34df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5" hidden="0" customWidth="1"/>
    <x:col min="2" max="2" width="32" hidden="0" customWidth="1"/>
    <x:col min="3" max="3" width="18" hidden="0" customWidth="1"/>
    <x:col min="4" max="4" width="14" hidden="0" customWidth="1"/>
    <x:col min="5" max="5" width="52" hidden="0" customWidth="1"/>
  </x:cols>
  <x:sheetData>
    <x:row r="1">
      <x:c r="A1" s="4" t="str">
        <x:v>Handover Meeting Checklist</x:v>
      </x:c>
      <x:c r="B1" s="4"/>
      <x:c r="C1" s="4"/>
      <x:c r="D1" s="4"/>
      <x:c r="E1" s="4"/>
    </x:row>
    <x:row r="2">
      <x:c r="A2" s="5" t="str">
        <x:v>Complete live where possible. Use this as the final meeting record and handover-email attachment.</x:v>
      </x:c>
      <x:c r="B2" s="5"/>
      <x:c r="C2" s="5"/>
      <x:c r="D2" s="5"/>
      <x:c r="E2" s="5"/>
    </x:row>
    <x:row r="4">
      <x:c r="A4" s="31" t="str">
        <x:v>Meeting action</x:v>
      </x:c>
      <x:c r="B4" s="31" t="str">
        <x:v>Owner</x:v>
      </x:c>
      <x:c r="C4" s="31" t="str">
        <x:v>Status</x:v>
      </x:c>
      <x:c r="D4" s="31" t="str">
        <x:v>Confirmed date</x:v>
      </x:c>
      <x:c r="E4" s="31" t="str">
        <x:v>Notes / evidence</x:v>
      </x:c>
    </x:row>
    <x:row r="5" ht="40" customHeight="1">
      <x:c r="A5" s="26" t="str">
        <x:v>Client Drive folder opens for client administrator</x:v>
      </x:c>
      <x:c r="B5" s="26" t="str">
        <x:v>Tobi Seun Ajayi</x:v>
      </x:c>
      <x:c r="C5" s="26" t="str">
        <x:v>Not started</x:v>
      </x:c>
      <x:c r="D5" s="32"/>
      <x:c r="E5" s="26" t="str">
        <x:v>Record the client-controlled folder owner and permission levels.</x:v>
      </x:c>
    </x:row>
    <x:row r="6" ht="40" customHeight="1">
      <x:c r="A6" s="26" t="str">
        <x:v>Nominated CMS editor logs in to /admin</x:v>
      </x:c>
      <x:c r="B6" s="26" t="str">
        <x:v>Tobi Seun Ajayi</x:v>
      </x:c>
      <x:c r="C6" s="26" t="str">
        <x:v>Not started</x:v>
      </x:c>
      <x:c r="D6" s="32"/>
      <x:c r="E6" s="26" t="str">
        <x:v>Use an individual invitation; no shared account.</x:v>
      </x:c>
    </x:row>
    <x:row r="7" ht="40" customHeight="1">
      <x:c r="A7" s="26" t="str">
        <x:v>Client editor publishes a safe CMS change and checks public page</x:v>
      </x:c>
      <x:c r="B7" s="26" t="str">
        <x:v>Tobi Seun Ajayi</x:v>
      </x:c>
      <x:c r="C7" s="26" t="str">
        <x:v>Not started</x:v>
      </x:c>
      <x:c r="D7" s="32"/>
      <x:c r="E7" s="26" t="str">
        <x:v>Record the page URL or record name.</x:v>
      </x:c>
    </x:row>
    <x:row r="8" ht="40" customHeight="1">
      <x:c r="A8" s="26" t="str">
        <x:v>Content Editor Guide and recording chapters shared</x:v>
      </x:c>
      <x:c r="B8" s="26" t="str">
        <x:v>Developer</x:v>
      </x:c>
      <x:c r="C8" s="26" t="str">
        <x:v>Not started</x:v>
      </x:c>
      <x:c r="D8" s="32"/>
      <x:c r="E8" s="26" t="str">
        <x:v>Use short, timestamped recordings or clear chapters.</x:v>
      </x:c>
    </x:row>
    <x:row r="9" ht="40" customHeight="1">
      <x:c r="A9" s="26" t="str">
        <x:v>Access Register reviewed; named owners and roles recorded</x:v>
      </x:c>
      <x:c r="B9" s="26" t="str">
        <x:v>Tobi Seun Ajayi + website developer</x:v>
      </x:c>
      <x:c r="C9" s="26" t="str">
        <x:v>Not started</x:v>
      </x:c>
      <x:c r="D9" s="32"/>
      <x:c r="E9" s="26" t="str">
        <x:v>Do not close rows without recovery/billing/2FA confirmation.</x:v>
      </x:c>
    </x:row>
    <x:row r="10" ht="40" customHeight="1">
      <x:c r="A10" s="26" t="str">
        <x:v>Zoho temporary passwords rotated</x:v>
      </x:c>
      <x:c r="B10" s="26" t="str">
        <x:v>Tobi Seun Ajayi</x:v>
      </x:c>
      <x:c r="C10" s="26" t="str">
        <x:v>Not started</x:v>
      </x:c>
      <x:c r="D10" s="32"/>
      <x:c r="E10" s="26" t="str">
        <x:v>Confirm completion only; never enter passwords.</x:v>
      </x:c>
    </x:row>
    <x:row r="11" ht="40" customHeight="1">
      <x:c r="A11" s="26" t="str">
        <x:v>Remaining open items accepted and owners assigned</x:v>
      </x:c>
      <x:c r="B11" s="26" t="str">
        <x:v>Client decision-maker + developer</x:v>
      </x:c>
      <x:c r="C11" s="26" t="str">
        <x:v>Not started</x:v>
      </x:c>
      <x:c r="D11" s="32"/>
      <x:c r="E11" s="26" t="str">
        <x:v>Attach the dated workbook to the handover email.</x:v>
      </x:c>
    </x:row>
    <x:row r="12" ht="40" customHeight="1">
      <x:c r="A12" s="26" t="str">
        <x:v>Final handover email sent</x:v>
      </x:c>
      <x:c r="B12" s="26" t="str">
        <x:v>Website developer</x:v>
      </x:c>
      <x:c r="C12" s="26" t="str">
        <x:v>Not started</x:v>
      </x:c>
      <x:c r="D12" s="32"/>
      <x:c r="E12" s="26" t="str">
        <x:v>Record the sent date and confirm the folder and recording links are included.</x:v>
      </x:c>
    </x:row>
  </x:sheetData>
  <x:mergeCells>
    <x:mergeCell ref="A1:E1"/>
    <x:mergeCell ref="A2:E2"/>
  </x:mergeCells>
  <x:conditionalFormatting sqref="C5:C12">
    <x:cfRule type="containsText" dxfId="8" priority="1" operator="containsText" text="Complete"/>
    <x:cfRule type="containsText" dxfId="9" priority="2" operator="containsText" text="In progress"/>
  </x:conditionalFormatting>
  <x:dataValidations count="1">
    <x:dataValidation type="list" sqref="C5:C12">
      <x:formula1>"Not started,In progress,Complete,Not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e84acc630094c5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2" hidden="0" customWidth="1"/>
    <x:col min="3" max="3" width="20" hidden="0" customWidth="1"/>
    <x:col min="4" max="4" width="25" hidden="0" customWidth="1"/>
  </x:cols>
  <x:sheetData>
    <x:row r="1">
      <x:c r="A1" s="31" t="str">
        <x:v>Access statuses</x:v>
      </x:c>
      <x:c r="B1" s="31" t="str">
        <x:v>Open item statuses</x:v>
      </x:c>
      <x:c r="C1" s="31" t="str">
        <x:v>Meeting statuses</x:v>
      </x:c>
      <x:c r="D1" s="31" t="str">
        <x:v>Role terms</x:v>
      </x:c>
    </x:row>
    <x:row r="2">
      <x:c r="A2" s="26" t="str">
        <x:v>Recorded</x:v>
      </x:c>
      <x:c r="B2" s="26" t="str">
        <x:v>Open</x:v>
      </x:c>
      <x:c r="C2" s="26" t="str">
        <x:v>Not started</x:v>
      </x:c>
      <x:c r="D2" s="26" t="str">
        <x:v>Client owner</x:v>
      </x:c>
    </x:row>
    <x:row r="3">
      <x:c r="A3" s="26" t="str">
        <x:v>Verify</x:v>
      </x:c>
      <x:c r="B3" s="26" t="str">
        <x:v>In progress</x:v>
      </x:c>
      <x:c r="C3" s="26" t="str">
        <x:v>In progress</x:v>
      </x:c>
      <x:c r="D3" s="26" t="str">
        <x:v>Client administrator</x:v>
      </x:c>
    </x:row>
    <x:row r="4">
      <x:c r="A4" s="26" t="str">
        <x:v>Action required</x:v>
      </x:c>
      <x:c r="B4" s="26" t="str">
        <x:v>Waiting on client</x:v>
      </x:c>
      <x:c r="C4" s="26" t="str">
        <x:v>Complete</x:v>
      </x:c>
      <x:c r="D4" s="26" t="str">
        <x:v>Client editor</x:v>
      </x:c>
    </x:row>
    <x:row r="5">
      <x:c r="A5" s="26" t="str">
        <x:v>Developer-managed</x:v>
      </x:c>
      <x:c r="B5" s="26" t="str">
        <x:v>Optional</x:v>
      </x:c>
      <x:c r="C5" s="26" t="str">
        <x:v>Not applicable</x:v>
      </x:c>
      <x:c r="D5" s="26" t="str">
        <x:v>Developer-managed</x:v>
      </x:c>
    </x:row>
    <x:row r="6">
      <x:c r="A6" s="26" t="str">
        <x:v>Not started</x:v>
      </x:c>
      <x:c r="B6" s="26" t="str">
        <x:v>Complete</x:v>
      </x:c>
      <x:c r="C6" s="26"/>
      <x:c r="D6" s="26" t="str">
        <x:v>Verify</x:v>
      </x:c>
    </x:row>
    <x:row r="7">
      <x:c r="A7" s="26" t="str">
        <x:v>Complete</x:v>
      </x:c>
      <x:c r="B7" s="26"/>
      <x:c r="C7" s="26"/>
      <x:c r="D7" s="26"/>
    </x:row>
  </x:sheetData>
  <x:pageMargins left="0.7" right="0.7" top="0.75" bottom="0.75" header="0.3" footer="0.3"/>
</x:worksheet>
</file>